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ros\Development\ai_agenti_homework\RAG_ChromaDB\"/>
    </mc:Choice>
  </mc:AlternateContent>
  <xr:revisionPtr revIDLastSave="0" documentId="13_ncr:1_{3BF1F815-5DEF-4328-B8CF-42D5CBD3A1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ulnerability Tracker" sheetId="1" r:id="rId1"/>
  </sheets>
  <definedNames>
    <definedName name="_xlnm._FilterDatabase" localSheetId="0" hidden="1">'Vulnerability Tracker'!$A$2:$K$14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G16" i="1"/>
</calcChain>
</file>

<file path=xl/sharedStrings.xml><?xml version="1.0" encoding="utf-8"?>
<sst xmlns="http://schemas.openxmlformats.org/spreadsheetml/2006/main" count="135" uniqueCount="106">
  <si>
    <t>VULNERABILITY TRACKER — Production Environment</t>
  </si>
  <si>
    <t>CVE ID</t>
  </si>
  <si>
    <t>CVSS</t>
  </si>
  <si>
    <t>Severity</t>
  </si>
  <si>
    <t>Host / Asset</t>
  </si>
  <si>
    <t>Service</t>
  </si>
  <si>
    <t>Port</t>
  </si>
  <si>
    <t>Description</t>
  </si>
  <si>
    <t>Discovery Date</t>
  </si>
  <si>
    <t>SLA Deadline</t>
  </si>
  <si>
    <t>Status</t>
  </si>
  <si>
    <t>Remediation</t>
  </si>
  <si>
    <t>CVE-2023-44487</t>
  </si>
  <si>
    <t>High</t>
  </si>
  <si>
    <t>10.1.1.10 (web01)</t>
  </si>
  <si>
    <t>nginx</t>
  </si>
  <si>
    <t>443</t>
  </si>
  <si>
    <t>HTTP/2 Rapid Reset DoS vulnerability in nginx &lt; 1.25.3</t>
  </si>
  <si>
    <t>2024-01-05</t>
  </si>
  <si>
    <t>2024-02-04</t>
  </si>
  <si>
    <t>Open</t>
  </si>
  <si>
    <t>Upgrade nginx to 1.25.3 or later</t>
  </si>
  <si>
    <t>CVE-2023-23397</t>
  </si>
  <si>
    <t>Critical</t>
  </si>
  <si>
    <t>10.1.1.20 (mail01)</t>
  </si>
  <si>
    <t>Outlook</t>
  </si>
  <si>
    <t>445</t>
  </si>
  <si>
    <t>Microsoft Outlook privilege escalation via UNC path in email</t>
  </si>
  <si>
    <t>2024-01-07</t>
  </si>
  <si>
    <t>2024-01-22</t>
  </si>
  <si>
    <t>In Progress</t>
  </si>
  <si>
    <t>Apply MS patch KB5023280; block outbound SMB at firewall</t>
  </si>
  <si>
    <t>CVE-2022-47966</t>
  </si>
  <si>
    <t>10.1.1.30 (mgmt01)</t>
  </si>
  <si>
    <t>ManageEngine</t>
  </si>
  <si>
    <t>RCE in ManageEngine ServiceDesk via SAML authentication</t>
  </si>
  <si>
    <t>2024-01-10</t>
  </si>
  <si>
    <t>2024-01-25</t>
  </si>
  <si>
    <t>Remediated</t>
  </si>
  <si>
    <t>Upgraded to ServiceDesk Plus 14003</t>
  </si>
  <si>
    <t>CVE-2023-35078</t>
  </si>
  <si>
    <t>10.1.1.40 (mdm01)</t>
  </si>
  <si>
    <t>Ivanti MDM</t>
  </si>
  <si>
    <t>Auth bypass in Ivanti Endpoint Manager Mobile (EPMM)</t>
  </si>
  <si>
    <t>2024-01-12</t>
  </si>
  <si>
    <t>2024-01-27</t>
  </si>
  <si>
    <t>Apply Ivanti patch per vendor advisory EPMM-2023-001</t>
  </si>
  <si>
    <t>CVE-2023-4966</t>
  </si>
  <si>
    <t>10.1.1.50 (citrix01)</t>
  </si>
  <si>
    <t>Citrix ADC</t>
  </si>
  <si>
    <t>Sensitive info disclosure in Citrix ADC and Gateway</t>
  </si>
  <si>
    <t>2024-01-15</t>
  </si>
  <si>
    <t>2024-01-30</t>
  </si>
  <si>
    <t>Apply CTX-2023-0007 patch; invalidate active sessions</t>
  </si>
  <si>
    <t>CVE-2023-28252</t>
  </si>
  <si>
    <t>10.1.1.60 (dc01)</t>
  </si>
  <si>
    <t>Windows OS</t>
  </si>
  <si>
    <t>N/A</t>
  </si>
  <si>
    <t>Windows CLFS driver privilege escalation vulnerability</t>
  </si>
  <si>
    <t>2024-01-18</t>
  </si>
  <si>
    <t>2024-02-17</t>
  </si>
  <si>
    <t>Apply KB5025229 patch via WSUS</t>
  </si>
  <si>
    <t>CVE-2023-20269</t>
  </si>
  <si>
    <t>Medium</t>
  </si>
  <si>
    <t>10.1.1.70 (vpn01)</t>
  </si>
  <si>
    <t>Cisco ASA</t>
  </si>
  <si>
    <t>Brute-force vulnerability in Cisco ASA SSL VPN</t>
  </si>
  <si>
    <t>2024-01-20</t>
  </si>
  <si>
    <t>2024-04-20</t>
  </si>
  <si>
    <t>Enable AAA lockout; implement MFA for VPN access</t>
  </si>
  <si>
    <t>CVE-2023-27997</t>
  </si>
  <si>
    <t>10.1.1.80 (fw01)</t>
  </si>
  <si>
    <t>FortiGate</t>
  </si>
  <si>
    <t>Heap overflow in FortiOS SSL-VPN pre-authentication RCE</t>
  </si>
  <si>
    <t>2024-02-06</t>
  </si>
  <si>
    <t>Upgraded FortiOS to 7.4.1</t>
  </si>
  <si>
    <t>CVE-2022-41082</t>
  </si>
  <si>
    <t>10.1.1.90 (ex01)</t>
  </si>
  <si>
    <t>Exchange</t>
  </si>
  <si>
    <t>Microsoft Exchange Server RCE via PowerShell remoting</t>
  </si>
  <si>
    <t>2024-02-24</t>
  </si>
  <si>
    <t>Apply KB5019758; disable remote PS if not needed</t>
  </si>
  <si>
    <t>CVE-2023-32315</t>
  </si>
  <si>
    <t>10.1.1.100 (chat01)</t>
  </si>
  <si>
    <t>Openfire</t>
  </si>
  <si>
    <t>9090</t>
  </si>
  <si>
    <t>Path traversal in Openfire admin console authentication</t>
  </si>
  <si>
    <t>2024-01-28</t>
  </si>
  <si>
    <t>2024-02-27</t>
  </si>
  <si>
    <t>Upgrade Openfire to 4.7.5 or apply workaround</t>
  </si>
  <si>
    <t>CVE-2023-3519</t>
  </si>
  <si>
    <t>10.1.1.110 (gw01)</t>
  </si>
  <si>
    <t>Unauthenticated RCE in Citrix ADC NSAPI</t>
  </si>
  <si>
    <t>2024-02-01</t>
  </si>
  <si>
    <t>2024-02-16</t>
  </si>
  <si>
    <t>Apply CTX-2023-0052 immediately; check for IOCs</t>
  </si>
  <si>
    <t>CVE-2023-26360</t>
  </si>
  <si>
    <t>10.1.1.120 (cms01)</t>
  </si>
  <si>
    <t>Adobe CF</t>
  </si>
  <si>
    <t>8500</t>
  </si>
  <si>
    <t>Improper access control in Adobe ColdFusion</t>
  </si>
  <si>
    <t>2024-02-03</t>
  </si>
  <si>
    <t>2024-03-04</t>
  </si>
  <si>
    <t>Apply APSB23-25 patch; restrict CF admin access</t>
  </si>
  <si>
    <t>SUMMARY</t>
  </si>
  <si>
    <t>Open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</si>
</sst>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E26B0A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b/>
      <sz val="10"/>
      <color rgb="FFBF8F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/>
    <xf numFmtId="0" fontId="8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pane ySplit="2" topLeftCell="A3" activePane="bottomLeft" state="frozen"/>
      <selection pane="bottomLeft" activeCell="D18" sqref="D18"/>
    </sheetView>
  </sheetViews>
  <sheetFormatPr defaultRowHeight="15" x14ac:dyDescent="0.25"/>
  <cols>
    <col min="1" max="1" width="16" customWidth="1"/>
    <col min="2" max="2" width="8" customWidth="1"/>
    <col min="3" max="3" width="10" customWidth="1"/>
    <col min="4" max="4" width="20" customWidth="1"/>
    <col min="5" max="5" width="14" customWidth="1"/>
    <col min="6" max="6" width="8" customWidth="1"/>
    <col min="7" max="7" width="40" customWidth="1"/>
    <col min="8" max="9" width="14" customWidth="1"/>
    <col min="10" max="10" width="12" customWidth="1"/>
    <col min="11" max="11" width="35" customWidth="1"/>
  </cols>
  <sheetData>
    <row r="1" spans="1:11" ht="30" customHeight="1" x14ac:dyDescent="0.2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2.1" customHeight="1" x14ac:dyDescent="0.25">
      <c r="A3" s="2" t="s">
        <v>12</v>
      </c>
      <c r="B3" s="3">
        <v>7.5</v>
      </c>
      <c r="C3" s="3" t="s">
        <v>13</v>
      </c>
      <c r="D3" s="4" t="s">
        <v>14</v>
      </c>
      <c r="E3" s="4" t="s">
        <v>15</v>
      </c>
      <c r="F3" s="2" t="s">
        <v>16</v>
      </c>
      <c r="G3" s="5" t="s">
        <v>17</v>
      </c>
      <c r="H3" s="2" t="s">
        <v>18</v>
      </c>
      <c r="I3" s="2" t="s">
        <v>19</v>
      </c>
      <c r="J3" s="6" t="s">
        <v>20</v>
      </c>
      <c r="K3" s="5" t="s">
        <v>21</v>
      </c>
    </row>
    <row r="4" spans="1:11" ht="32.1" customHeight="1" x14ac:dyDescent="0.25">
      <c r="A4" s="7" t="s">
        <v>22</v>
      </c>
      <c r="B4" s="8">
        <v>9.8000000000000007</v>
      </c>
      <c r="C4" s="8" t="s">
        <v>23</v>
      </c>
      <c r="D4" s="9" t="s">
        <v>24</v>
      </c>
      <c r="E4" s="9" t="s">
        <v>25</v>
      </c>
      <c r="F4" s="7" t="s">
        <v>26</v>
      </c>
      <c r="G4" s="10" t="s">
        <v>27</v>
      </c>
      <c r="H4" s="7" t="s">
        <v>28</v>
      </c>
      <c r="I4" s="7" t="s">
        <v>29</v>
      </c>
      <c r="J4" s="11" t="s">
        <v>30</v>
      </c>
      <c r="K4" s="10" t="s">
        <v>31</v>
      </c>
    </row>
    <row r="5" spans="1:11" ht="32.1" customHeight="1" x14ac:dyDescent="0.25">
      <c r="A5" s="2" t="s">
        <v>32</v>
      </c>
      <c r="B5" s="6">
        <v>9.8000000000000007</v>
      </c>
      <c r="C5" s="6" t="s">
        <v>23</v>
      </c>
      <c r="D5" s="4" t="s">
        <v>33</v>
      </c>
      <c r="E5" s="4" t="s">
        <v>34</v>
      </c>
      <c r="F5" s="2" t="s">
        <v>16</v>
      </c>
      <c r="G5" s="5" t="s">
        <v>35</v>
      </c>
      <c r="H5" s="2" t="s">
        <v>36</v>
      </c>
      <c r="I5" s="2" t="s">
        <v>37</v>
      </c>
      <c r="J5" s="12" t="s">
        <v>38</v>
      </c>
      <c r="K5" s="5" t="s">
        <v>39</v>
      </c>
    </row>
    <row r="6" spans="1:11" ht="32.1" customHeight="1" x14ac:dyDescent="0.25">
      <c r="A6" s="7" t="s">
        <v>40</v>
      </c>
      <c r="B6" s="8">
        <v>10</v>
      </c>
      <c r="C6" s="8" t="s">
        <v>23</v>
      </c>
      <c r="D6" s="9" t="s">
        <v>41</v>
      </c>
      <c r="E6" s="9" t="s">
        <v>42</v>
      </c>
      <c r="F6" s="7" t="s">
        <v>16</v>
      </c>
      <c r="G6" s="10" t="s">
        <v>43</v>
      </c>
      <c r="H6" s="7" t="s">
        <v>44</v>
      </c>
      <c r="I6" s="7" t="s">
        <v>45</v>
      </c>
      <c r="J6" s="8" t="s">
        <v>20</v>
      </c>
      <c r="K6" s="10" t="s">
        <v>46</v>
      </c>
    </row>
    <row r="7" spans="1:11" ht="32.1" customHeight="1" x14ac:dyDescent="0.25">
      <c r="A7" s="2" t="s">
        <v>47</v>
      </c>
      <c r="B7" s="6">
        <v>9.4</v>
      </c>
      <c r="C7" s="6" t="s">
        <v>23</v>
      </c>
      <c r="D7" s="4" t="s">
        <v>48</v>
      </c>
      <c r="E7" s="4" t="s">
        <v>49</v>
      </c>
      <c r="F7" s="2" t="s">
        <v>16</v>
      </c>
      <c r="G7" s="5" t="s">
        <v>50</v>
      </c>
      <c r="H7" s="2" t="s">
        <v>51</v>
      </c>
      <c r="I7" s="2" t="s">
        <v>52</v>
      </c>
      <c r="J7" s="6" t="s">
        <v>20</v>
      </c>
      <c r="K7" s="5" t="s">
        <v>53</v>
      </c>
    </row>
    <row r="8" spans="1:11" ht="32.1" customHeight="1" x14ac:dyDescent="0.25">
      <c r="A8" s="7" t="s">
        <v>54</v>
      </c>
      <c r="B8" s="11">
        <v>7.8</v>
      </c>
      <c r="C8" s="11" t="s">
        <v>13</v>
      </c>
      <c r="D8" s="9" t="s">
        <v>55</v>
      </c>
      <c r="E8" s="9" t="s">
        <v>56</v>
      </c>
      <c r="F8" s="7" t="s">
        <v>57</v>
      </c>
      <c r="G8" s="10" t="s">
        <v>58</v>
      </c>
      <c r="H8" s="7" t="s">
        <v>59</v>
      </c>
      <c r="I8" s="7" t="s">
        <v>60</v>
      </c>
      <c r="J8" s="8" t="s">
        <v>20</v>
      </c>
      <c r="K8" s="10" t="s">
        <v>61</v>
      </c>
    </row>
    <row r="9" spans="1:11" ht="32.1" customHeight="1" x14ac:dyDescent="0.25">
      <c r="A9" s="2" t="s">
        <v>62</v>
      </c>
      <c r="B9" s="13">
        <v>5</v>
      </c>
      <c r="C9" s="13" t="s">
        <v>63</v>
      </c>
      <c r="D9" s="4" t="s">
        <v>64</v>
      </c>
      <c r="E9" s="4" t="s">
        <v>65</v>
      </c>
      <c r="F9" s="2" t="s">
        <v>16</v>
      </c>
      <c r="G9" s="5" t="s">
        <v>66</v>
      </c>
      <c r="H9" s="2" t="s">
        <v>67</v>
      </c>
      <c r="I9" s="2" t="s">
        <v>68</v>
      </c>
      <c r="J9" s="6" t="s">
        <v>20</v>
      </c>
      <c r="K9" s="5" t="s">
        <v>69</v>
      </c>
    </row>
    <row r="10" spans="1:11" ht="32.1" customHeight="1" x14ac:dyDescent="0.25">
      <c r="A10" s="7" t="s">
        <v>70</v>
      </c>
      <c r="B10" s="8">
        <v>9.1999999999999993</v>
      </c>
      <c r="C10" s="8" t="s">
        <v>23</v>
      </c>
      <c r="D10" s="9" t="s">
        <v>71</v>
      </c>
      <c r="E10" s="9" t="s">
        <v>72</v>
      </c>
      <c r="F10" s="7" t="s">
        <v>16</v>
      </c>
      <c r="G10" s="10" t="s">
        <v>73</v>
      </c>
      <c r="H10" s="7" t="s">
        <v>29</v>
      </c>
      <c r="I10" s="7" t="s">
        <v>74</v>
      </c>
      <c r="J10" s="14" t="s">
        <v>38</v>
      </c>
      <c r="K10" s="10" t="s">
        <v>75</v>
      </c>
    </row>
    <row r="11" spans="1:11" ht="32.1" customHeight="1" x14ac:dyDescent="0.25">
      <c r="A11" s="2" t="s">
        <v>76</v>
      </c>
      <c r="B11" s="3">
        <v>8.8000000000000007</v>
      </c>
      <c r="C11" s="3" t="s">
        <v>13</v>
      </c>
      <c r="D11" s="4" t="s">
        <v>77</v>
      </c>
      <c r="E11" s="4" t="s">
        <v>78</v>
      </c>
      <c r="F11" s="2" t="s">
        <v>16</v>
      </c>
      <c r="G11" s="5" t="s">
        <v>79</v>
      </c>
      <c r="H11" s="2" t="s">
        <v>37</v>
      </c>
      <c r="I11" s="2" t="s">
        <v>80</v>
      </c>
      <c r="J11" s="3" t="s">
        <v>30</v>
      </c>
      <c r="K11" s="5" t="s">
        <v>81</v>
      </c>
    </row>
    <row r="12" spans="1:11" ht="32.1" customHeight="1" x14ac:dyDescent="0.25">
      <c r="A12" s="7" t="s">
        <v>82</v>
      </c>
      <c r="B12" s="11">
        <v>7.5</v>
      </c>
      <c r="C12" s="11" t="s">
        <v>13</v>
      </c>
      <c r="D12" s="9" t="s">
        <v>83</v>
      </c>
      <c r="E12" s="9" t="s">
        <v>84</v>
      </c>
      <c r="F12" s="7" t="s">
        <v>85</v>
      </c>
      <c r="G12" s="10" t="s">
        <v>86</v>
      </c>
      <c r="H12" s="7" t="s">
        <v>87</v>
      </c>
      <c r="I12" s="7" t="s">
        <v>88</v>
      </c>
      <c r="J12" s="8" t="s">
        <v>20</v>
      </c>
      <c r="K12" s="10" t="s">
        <v>89</v>
      </c>
    </row>
    <row r="13" spans="1:11" ht="32.1" customHeight="1" x14ac:dyDescent="0.25">
      <c r="A13" s="2" t="s">
        <v>90</v>
      </c>
      <c r="B13" s="6">
        <v>9.8000000000000007</v>
      </c>
      <c r="C13" s="6" t="s">
        <v>23</v>
      </c>
      <c r="D13" s="4" t="s">
        <v>91</v>
      </c>
      <c r="E13" s="4" t="s">
        <v>49</v>
      </c>
      <c r="F13" s="2" t="s">
        <v>16</v>
      </c>
      <c r="G13" s="5" t="s">
        <v>92</v>
      </c>
      <c r="H13" s="2" t="s">
        <v>93</v>
      </c>
      <c r="I13" s="2" t="s">
        <v>94</v>
      </c>
      <c r="J13" s="6" t="s">
        <v>20</v>
      </c>
      <c r="K13" s="5" t="s">
        <v>95</v>
      </c>
    </row>
    <row r="14" spans="1:11" ht="32.1" customHeight="1" x14ac:dyDescent="0.25">
      <c r="A14" s="7" t="s">
        <v>96</v>
      </c>
      <c r="B14" s="11">
        <v>8.6</v>
      </c>
      <c r="C14" s="11" t="s">
        <v>13</v>
      </c>
      <c r="D14" s="9" t="s">
        <v>97</v>
      </c>
      <c r="E14" s="9" t="s">
        <v>98</v>
      </c>
      <c r="F14" s="7" t="s">
        <v>99</v>
      </c>
      <c r="G14" s="10" t="s">
        <v>100</v>
      </c>
      <c r="H14" s="7" t="s">
        <v>101</v>
      </c>
      <c r="I14" s="7" t="s">
        <v>102</v>
      </c>
      <c r="J14" s="8" t="s">
        <v>20</v>
      </c>
      <c r="K14" s="10" t="s">
        <v>103</v>
      </c>
    </row>
    <row r="16" spans="1:11" x14ac:dyDescent="0.25">
      <c r="A16" s="18" t="s">
        <v>104</v>
      </c>
      <c r="B16" s="19"/>
      <c r="C16" s="19"/>
      <c r="D16" s="19"/>
      <c r="E16" s="19"/>
      <c r="F16" s="19"/>
      <c r="G16" s="15">
        <f>COUNTIF(J3:J14,"Open")</f>
        <v>8</v>
      </c>
      <c r="H16" s="16" t="s">
        <v>105</v>
      </c>
      <c r="I16" s="17">
        <f>COUNTIF(C3:C14,"Critical")</f>
        <v>6</v>
      </c>
      <c r="J16" s="16" t="s">
        <v>23</v>
      </c>
    </row>
  </sheetData>
  <autoFilter ref="A2:K14" xr:uid="{00000000-0009-0000-0000-000000000000}"/>
  <mergeCells count="2">
    <mergeCell ref="A16:F1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Vulnerability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Miroslav Mzourek</cp:lastModifiedBy>
  <dcterms:created xsi:type="dcterms:W3CDTF">2026-03-06T20:47:05Z</dcterms:created>
  <dcterms:modified xsi:type="dcterms:W3CDTF">2026-03-06T21:38:39Z</dcterms:modified>
</cp:coreProperties>
</file>