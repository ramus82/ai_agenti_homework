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Tracker" sheetId="1" state="visible" r:id="rId1"/>
    <sheet xmlns:r="http://schemas.openxmlformats.org/officeDocument/2006/relationships" name="CIS Audit Checklist" sheetId="2" state="visible" r:id="rId2"/>
  </sheets>
  <definedNames>
    <definedName name="_xlnm._FilterDatabase" localSheetId="0" hidden="1">'Vulnerability Tracker'!$A$2:$K$14</definedName>
    <definedName name="_xlnm._FilterDatabase" localSheetId="1" hidden="1">'CIS Audit Checklist'!$A$2:$G$16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E26B0A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BF8F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1"/>
    </font>
    <font>
      <name val="Arial"/>
      <b val="1"/>
      <color rgb="00C00000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20" customWidth="1" min="4" max="4"/>
    <col width="14" customWidth="1" min="5" max="5"/>
    <col width="8" customWidth="1" min="6" max="6"/>
    <col width="40" customWidth="1" min="7" max="7"/>
    <col width="14" customWidth="1" min="8" max="8"/>
    <col width="14" customWidth="1" min="9" max="9"/>
    <col width="12" customWidth="1" min="10" max="10"/>
    <col width="35" customWidth="1" min="11" max="11"/>
  </cols>
  <sheetData>
    <row r="1" ht="30" customHeight="1">
      <c r="A1" s="1" t="inlineStr">
        <is>
          <t>VULNERABILITY TRACKER — Production Environment</t>
        </is>
      </c>
    </row>
    <row r="2" ht="20" customHeight="1">
      <c r="A2" s="2" t="inlineStr">
        <is>
          <t>CVE ID</t>
        </is>
      </c>
      <c r="B2" s="2" t="inlineStr">
        <is>
          <t>CVSS</t>
        </is>
      </c>
      <c r="C2" s="2" t="inlineStr">
        <is>
          <t>Severity</t>
        </is>
      </c>
      <c r="D2" s="2" t="inlineStr">
        <is>
          <t>Host / Asset</t>
        </is>
      </c>
      <c r="E2" s="2" t="inlineStr">
        <is>
          <t>Service</t>
        </is>
      </c>
      <c r="F2" s="2" t="inlineStr">
        <is>
          <t>Port</t>
        </is>
      </c>
      <c r="G2" s="2" t="inlineStr">
        <is>
          <t>Description</t>
        </is>
      </c>
      <c r="H2" s="2" t="inlineStr">
        <is>
          <t>Discovery Date</t>
        </is>
      </c>
      <c r="I2" s="2" t="inlineStr">
        <is>
          <t>SLA Deadline</t>
        </is>
      </c>
      <c r="J2" s="2" t="inlineStr">
        <is>
          <t>Status</t>
        </is>
      </c>
      <c r="K2" s="2" t="inlineStr">
        <is>
          <t>Remediation</t>
        </is>
      </c>
    </row>
    <row r="3" ht="32" customHeight="1">
      <c r="A3" s="3" t="inlineStr">
        <is>
          <t>CVE-2023-44487</t>
        </is>
      </c>
      <c r="B3" s="4" t="n">
        <v>7.5</v>
      </c>
      <c r="C3" s="4" t="inlineStr">
        <is>
          <t>High</t>
        </is>
      </c>
      <c r="D3" s="5" t="inlineStr">
        <is>
          <t>10.1.1.10 (web01)</t>
        </is>
      </c>
      <c r="E3" s="5" t="inlineStr">
        <is>
          <t>nginx</t>
        </is>
      </c>
      <c r="F3" s="3" t="inlineStr">
        <is>
          <t>443</t>
        </is>
      </c>
      <c r="G3" s="6" t="inlineStr">
        <is>
          <t>HTTP/2 Rapid Reset DoS vulnerability in nginx &lt; 1.25.3</t>
        </is>
      </c>
      <c r="H3" s="3" t="inlineStr">
        <is>
          <t>2024-01-05</t>
        </is>
      </c>
      <c r="I3" s="3" t="inlineStr">
        <is>
          <t>2024-02-04</t>
        </is>
      </c>
      <c r="J3" s="7" t="inlineStr">
        <is>
          <t>Open</t>
        </is>
      </c>
      <c r="K3" s="6" t="inlineStr">
        <is>
          <t>Upgrade nginx to 1.25.3 or later</t>
        </is>
      </c>
    </row>
    <row r="4" ht="32" customHeight="1">
      <c r="A4" s="8" t="inlineStr">
        <is>
          <t>CVE-2023-23397</t>
        </is>
      </c>
      <c r="B4" s="9" t="n">
        <v>9.800000000000001</v>
      </c>
      <c r="C4" s="9" t="inlineStr">
        <is>
          <t>Critical</t>
        </is>
      </c>
      <c r="D4" s="10" t="inlineStr">
        <is>
          <t>10.1.1.20 (mail01)</t>
        </is>
      </c>
      <c r="E4" s="10" t="inlineStr">
        <is>
          <t>Outlook</t>
        </is>
      </c>
      <c r="F4" s="8" t="inlineStr">
        <is>
          <t>445</t>
        </is>
      </c>
      <c r="G4" s="11" t="inlineStr">
        <is>
          <t>Microsoft Outlook privilege escalation via UNC path in email</t>
        </is>
      </c>
      <c r="H4" s="8" t="inlineStr">
        <is>
          <t>2024-01-07</t>
        </is>
      </c>
      <c r="I4" s="8" t="inlineStr">
        <is>
          <t>2024-01-22</t>
        </is>
      </c>
      <c r="J4" s="12" t="inlineStr">
        <is>
          <t>In Progress</t>
        </is>
      </c>
      <c r="K4" s="11" t="inlineStr">
        <is>
          <t>Apply MS patch KB5023280; block outbound SMB at firewall</t>
        </is>
      </c>
    </row>
    <row r="5" ht="32" customHeight="1">
      <c r="A5" s="3" t="inlineStr">
        <is>
          <t>CVE-2022-47966</t>
        </is>
      </c>
      <c r="B5" s="7" t="n">
        <v>9.800000000000001</v>
      </c>
      <c r="C5" s="7" t="inlineStr">
        <is>
          <t>Critical</t>
        </is>
      </c>
      <c r="D5" s="5" t="inlineStr">
        <is>
          <t>10.1.1.30 (mgmt01)</t>
        </is>
      </c>
      <c r="E5" s="5" t="inlineStr">
        <is>
          <t>ManageEngine</t>
        </is>
      </c>
      <c r="F5" s="3" t="inlineStr">
        <is>
          <t>443</t>
        </is>
      </c>
      <c r="G5" s="6" t="inlineStr">
        <is>
          <t>RCE in ManageEngine ServiceDesk via SAML authentication</t>
        </is>
      </c>
      <c r="H5" s="3" t="inlineStr">
        <is>
          <t>2024-01-10</t>
        </is>
      </c>
      <c r="I5" s="3" t="inlineStr">
        <is>
          <t>2024-01-25</t>
        </is>
      </c>
      <c r="J5" s="13" t="inlineStr">
        <is>
          <t>Remediated</t>
        </is>
      </c>
      <c r="K5" s="6" t="inlineStr">
        <is>
          <t>Upgraded to ServiceDesk Plus 14003</t>
        </is>
      </c>
    </row>
    <row r="6" ht="32" customHeight="1">
      <c r="A6" s="8" t="inlineStr">
        <is>
          <t>CVE-2023-35078</t>
        </is>
      </c>
      <c r="B6" s="9" t="n">
        <v>10</v>
      </c>
      <c r="C6" s="9" t="inlineStr">
        <is>
          <t>Critical</t>
        </is>
      </c>
      <c r="D6" s="10" t="inlineStr">
        <is>
          <t>10.1.1.40 (mdm01)</t>
        </is>
      </c>
      <c r="E6" s="10" t="inlineStr">
        <is>
          <t>Ivanti MDM</t>
        </is>
      </c>
      <c r="F6" s="8" t="inlineStr">
        <is>
          <t>443</t>
        </is>
      </c>
      <c r="G6" s="11" t="inlineStr">
        <is>
          <t>Auth bypass in Ivanti Endpoint Manager Mobile (EPMM)</t>
        </is>
      </c>
      <c r="H6" s="8" t="inlineStr">
        <is>
          <t>2024-01-12</t>
        </is>
      </c>
      <c r="I6" s="8" t="inlineStr">
        <is>
          <t>2024-01-27</t>
        </is>
      </c>
      <c r="J6" s="9" t="inlineStr">
        <is>
          <t>Open</t>
        </is>
      </c>
      <c r="K6" s="11" t="inlineStr">
        <is>
          <t>Apply Ivanti patch per vendor advisory EPMM-2023-001</t>
        </is>
      </c>
    </row>
    <row r="7" ht="32" customHeight="1">
      <c r="A7" s="3" t="inlineStr">
        <is>
          <t>CVE-2023-4966</t>
        </is>
      </c>
      <c r="B7" s="7" t="n">
        <v>9.4</v>
      </c>
      <c r="C7" s="7" t="inlineStr">
        <is>
          <t>Critical</t>
        </is>
      </c>
      <c r="D7" s="5" t="inlineStr">
        <is>
          <t>10.1.1.50 (citrix01)</t>
        </is>
      </c>
      <c r="E7" s="5" t="inlineStr">
        <is>
          <t>Citrix ADC</t>
        </is>
      </c>
      <c r="F7" s="3" t="inlineStr">
        <is>
          <t>443</t>
        </is>
      </c>
      <c r="G7" s="6" t="inlineStr">
        <is>
          <t>Sensitive info disclosure in Citrix ADC and Gateway</t>
        </is>
      </c>
      <c r="H7" s="3" t="inlineStr">
        <is>
          <t>2024-01-15</t>
        </is>
      </c>
      <c r="I7" s="3" t="inlineStr">
        <is>
          <t>2024-01-30</t>
        </is>
      </c>
      <c r="J7" s="7" t="inlineStr">
        <is>
          <t>Open</t>
        </is>
      </c>
      <c r="K7" s="6" t="inlineStr">
        <is>
          <t>Apply CTX-2023-0007 patch; invalidate active sessions</t>
        </is>
      </c>
    </row>
    <row r="8" ht="32" customHeight="1">
      <c r="A8" s="8" t="inlineStr">
        <is>
          <t>CVE-2023-28252</t>
        </is>
      </c>
      <c r="B8" s="12" t="n">
        <v>7.8</v>
      </c>
      <c r="C8" s="12" t="inlineStr">
        <is>
          <t>High</t>
        </is>
      </c>
      <c r="D8" s="10" t="inlineStr">
        <is>
          <t>10.1.1.60 (dc01)</t>
        </is>
      </c>
      <c r="E8" s="10" t="inlineStr">
        <is>
          <t>Windows OS</t>
        </is>
      </c>
      <c r="F8" s="8" t="inlineStr">
        <is>
          <t>N/A</t>
        </is>
      </c>
      <c r="G8" s="11" t="inlineStr">
        <is>
          <t>Windows CLFS driver privilege escalation vulnerability</t>
        </is>
      </c>
      <c r="H8" s="8" t="inlineStr">
        <is>
          <t>2024-01-18</t>
        </is>
      </c>
      <c r="I8" s="8" t="inlineStr">
        <is>
          <t>2024-02-17</t>
        </is>
      </c>
      <c r="J8" s="9" t="inlineStr">
        <is>
          <t>Open</t>
        </is>
      </c>
      <c r="K8" s="11" t="inlineStr">
        <is>
          <t>Apply KB5025229 patch via WSUS</t>
        </is>
      </c>
    </row>
    <row r="9" ht="32" customHeight="1">
      <c r="A9" s="3" t="inlineStr">
        <is>
          <t>CVE-2023-20269</t>
        </is>
      </c>
      <c r="B9" s="14" t="n">
        <v>5</v>
      </c>
      <c r="C9" s="14" t="inlineStr">
        <is>
          <t>Medium</t>
        </is>
      </c>
      <c r="D9" s="5" t="inlineStr">
        <is>
          <t>10.1.1.70 (vpn01)</t>
        </is>
      </c>
      <c r="E9" s="5" t="inlineStr">
        <is>
          <t>Cisco ASA</t>
        </is>
      </c>
      <c r="F9" s="3" t="inlineStr">
        <is>
          <t>443</t>
        </is>
      </c>
      <c r="G9" s="6" t="inlineStr">
        <is>
          <t>Brute-force vulnerability in Cisco ASA SSL VPN</t>
        </is>
      </c>
      <c r="H9" s="3" t="inlineStr">
        <is>
          <t>2024-01-20</t>
        </is>
      </c>
      <c r="I9" s="3" t="inlineStr">
        <is>
          <t>2024-04-20</t>
        </is>
      </c>
      <c r="J9" s="7" t="inlineStr">
        <is>
          <t>Open</t>
        </is>
      </c>
      <c r="K9" s="6" t="inlineStr">
        <is>
          <t>Enable AAA lockout; implement MFA for VPN access</t>
        </is>
      </c>
    </row>
    <row r="10" ht="32" customHeight="1">
      <c r="A10" s="8" t="inlineStr">
        <is>
          <t>CVE-2023-27997</t>
        </is>
      </c>
      <c r="B10" s="9" t="n">
        <v>9.199999999999999</v>
      </c>
      <c r="C10" s="9" t="inlineStr">
        <is>
          <t>Critical</t>
        </is>
      </c>
      <c r="D10" s="10" t="inlineStr">
        <is>
          <t>10.1.1.80 (fw01)</t>
        </is>
      </c>
      <c r="E10" s="10" t="inlineStr">
        <is>
          <t>FortiGate</t>
        </is>
      </c>
      <c r="F10" s="8" t="inlineStr">
        <is>
          <t>443</t>
        </is>
      </c>
      <c r="G10" s="11" t="inlineStr">
        <is>
          <t>Heap overflow in FortiOS SSL-VPN pre-authentication RCE</t>
        </is>
      </c>
      <c r="H10" s="8" t="inlineStr">
        <is>
          <t>2024-01-22</t>
        </is>
      </c>
      <c r="I10" s="8" t="inlineStr">
        <is>
          <t>2024-02-06</t>
        </is>
      </c>
      <c r="J10" s="15" t="inlineStr">
        <is>
          <t>Remediated</t>
        </is>
      </c>
      <c r="K10" s="11" t="inlineStr">
        <is>
          <t>Upgraded FortiOS to 7.4.1</t>
        </is>
      </c>
    </row>
    <row r="11" ht="32" customHeight="1">
      <c r="A11" s="3" t="inlineStr">
        <is>
          <t>CVE-2022-41082</t>
        </is>
      </c>
      <c r="B11" s="4" t="n">
        <v>8.800000000000001</v>
      </c>
      <c r="C11" s="4" t="inlineStr">
        <is>
          <t>High</t>
        </is>
      </c>
      <c r="D11" s="5" t="inlineStr">
        <is>
          <t>10.1.1.90 (ex01)</t>
        </is>
      </c>
      <c r="E11" s="5" t="inlineStr">
        <is>
          <t>Exchange</t>
        </is>
      </c>
      <c r="F11" s="3" t="inlineStr">
        <is>
          <t>443</t>
        </is>
      </c>
      <c r="G11" s="6" t="inlineStr">
        <is>
          <t>Microsoft Exchange Server RCE via PowerShell remoting</t>
        </is>
      </c>
      <c r="H11" s="3" t="inlineStr">
        <is>
          <t>2024-01-25</t>
        </is>
      </c>
      <c r="I11" s="3" t="inlineStr">
        <is>
          <t>2024-02-24</t>
        </is>
      </c>
      <c r="J11" s="4" t="inlineStr">
        <is>
          <t>In Progress</t>
        </is>
      </c>
      <c r="K11" s="6" t="inlineStr">
        <is>
          <t>Apply KB5019758; disable remote PS if not needed</t>
        </is>
      </c>
    </row>
    <row r="12" ht="32" customHeight="1">
      <c r="A12" s="8" t="inlineStr">
        <is>
          <t>CVE-2023-32315</t>
        </is>
      </c>
      <c r="B12" s="12" t="n">
        <v>7.5</v>
      </c>
      <c r="C12" s="12" t="inlineStr">
        <is>
          <t>High</t>
        </is>
      </c>
      <c r="D12" s="10" t="inlineStr">
        <is>
          <t>10.1.1.100 (chat01)</t>
        </is>
      </c>
      <c r="E12" s="10" t="inlineStr">
        <is>
          <t>Openfire</t>
        </is>
      </c>
      <c r="F12" s="8" t="inlineStr">
        <is>
          <t>9090</t>
        </is>
      </c>
      <c r="G12" s="11" t="inlineStr">
        <is>
          <t>Path traversal in Openfire admin console authentication</t>
        </is>
      </c>
      <c r="H12" s="8" t="inlineStr">
        <is>
          <t>2024-01-28</t>
        </is>
      </c>
      <c r="I12" s="8" t="inlineStr">
        <is>
          <t>2024-02-27</t>
        </is>
      </c>
      <c r="J12" s="9" t="inlineStr">
        <is>
          <t>Open</t>
        </is>
      </c>
      <c r="K12" s="11" t="inlineStr">
        <is>
          <t>Upgrade Openfire to 4.7.5 or apply workaround</t>
        </is>
      </c>
    </row>
    <row r="13" ht="32" customHeight="1">
      <c r="A13" s="3" t="inlineStr">
        <is>
          <t>CVE-2023-3519</t>
        </is>
      </c>
      <c r="B13" s="7" t="n">
        <v>9.800000000000001</v>
      </c>
      <c r="C13" s="7" t="inlineStr">
        <is>
          <t>Critical</t>
        </is>
      </c>
      <c r="D13" s="5" t="inlineStr">
        <is>
          <t>10.1.1.110 (gw01)</t>
        </is>
      </c>
      <c r="E13" s="5" t="inlineStr">
        <is>
          <t>Citrix ADC</t>
        </is>
      </c>
      <c r="F13" s="3" t="inlineStr">
        <is>
          <t>443</t>
        </is>
      </c>
      <c r="G13" s="6" t="inlineStr">
        <is>
          <t>Unauthenticated RCE in Citrix ADC NSAPI</t>
        </is>
      </c>
      <c r="H13" s="3" t="inlineStr">
        <is>
          <t>2024-02-01</t>
        </is>
      </c>
      <c r="I13" s="3" t="inlineStr">
        <is>
          <t>2024-02-16</t>
        </is>
      </c>
      <c r="J13" s="7" t="inlineStr">
        <is>
          <t>Open</t>
        </is>
      </c>
      <c r="K13" s="6" t="inlineStr">
        <is>
          <t>Apply CTX-2023-0052 immediately; check for IOCs</t>
        </is>
      </c>
    </row>
    <row r="14" ht="32" customHeight="1">
      <c r="A14" s="8" t="inlineStr">
        <is>
          <t>CVE-2023-26360</t>
        </is>
      </c>
      <c r="B14" s="12" t="n">
        <v>8.6</v>
      </c>
      <c r="C14" s="12" t="inlineStr">
        <is>
          <t>High</t>
        </is>
      </c>
      <c r="D14" s="10" t="inlineStr">
        <is>
          <t>10.1.1.120 (cms01)</t>
        </is>
      </c>
      <c r="E14" s="10" t="inlineStr">
        <is>
          <t>Adobe CF</t>
        </is>
      </c>
      <c r="F14" s="8" t="inlineStr">
        <is>
          <t>8500</t>
        </is>
      </c>
      <c r="G14" s="11" t="inlineStr">
        <is>
          <t>Improper access control in Adobe ColdFusion</t>
        </is>
      </c>
      <c r="H14" s="8" t="inlineStr">
        <is>
          <t>2024-02-03</t>
        </is>
      </c>
      <c r="I14" s="8" t="inlineStr">
        <is>
          <t>2024-03-04</t>
        </is>
      </c>
      <c r="J14" s="9" t="inlineStr">
        <is>
          <t>Open</t>
        </is>
      </c>
      <c r="K14" s="11" t="inlineStr">
        <is>
          <t>Apply APSB23-25 patch; restrict CF admin access</t>
        </is>
      </c>
    </row>
    <row r="16">
      <c r="A16" s="16" t="inlineStr">
        <is>
          <t>SUMMARY</t>
        </is>
      </c>
      <c r="G16" s="17">
        <f>COUNTIF(J3:J14,"Open")</f>
        <v/>
      </c>
      <c r="H16" s="18" t="inlineStr">
        <is>
          <t>Open findings</t>
        </is>
      </c>
      <c r="I16" s="19">
        <f>COUNTIF(C3:C14,"Critical")</f>
        <v/>
      </c>
      <c r="J16" s="18" t="inlineStr">
        <is>
          <t>Critical</t>
        </is>
      </c>
    </row>
  </sheetData>
  <autoFilter ref="A2:K14"/>
  <mergeCells count="2">
    <mergeCell ref="A16:F1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22" customWidth="1" min="4" max="4"/>
    <col width="22" customWidth="1" min="5" max="5"/>
    <col width="10" customWidth="1" min="6" max="6"/>
    <col width="30" customWidth="1" min="7" max="7"/>
  </cols>
  <sheetData>
    <row r="1" ht="30" customHeight="1">
      <c r="A1" s="1" t="inlineStr">
        <is>
          <t>CIS Benchmark Audit Checklist — Windows Server 2022</t>
        </is>
      </c>
    </row>
    <row r="2">
      <c r="A2" s="2" t="inlineStr">
        <is>
          <t>Control ID</t>
        </is>
      </c>
      <c r="B2" s="2" t="inlineStr">
        <is>
          <t>Category</t>
        </is>
      </c>
      <c r="C2" s="2" t="inlineStr">
        <is>
          <t>Description</t>
        </is>
      </c>
      <c r="D2" s="2" t="inlineStr">
        <is>
          <t>Expected Value</t>
        </is>
      </c>
      <c r="E2" s="2" t="inlineStr">
        <is>
          <t>Actual Value</t>
        </is>
      </c>
      <c r="F2" s="2" t="inlineStr">
        <is>
          <t>Result</t>
        </is>
      </c>
      <c r="G2" s="2" t="inlineStr">
        <is>
          <t>Notes</t>
        </is>
      </c>
    </row>
    <row r="3" ht="28" customHeight="1">
      <c r="A3" s="10" t="inlineStr">
        <is>
          <t>CIS 1.1.1</t>
        </is>
      </c>
      <c r="B3" s="10" t="inlineStr">
        <is>
          <t>Account Policy</t>
        </is>
      </c>
      <c r="C3" s="11" t="inlineStr">
        <is>
          <t>Password History Size</t>
        </is>
      </c>
      <c r="D3" s="11" t="inlineStr">
        <is>
          <t>24 or more</t>
        </is>
      </c>
      <c r="E3" s="11" t="inlineStr">
        <is>
          <t>12</t>
        </is>
      </c>
      <c r="F3" s="9" t="inlineStr">
        <is>
          <t>FAIL</t>
        </is>
      </c>
      <c r="G3" s="11" t="inlineStr">
        <is>
          <t>Increase via GPO</t>
        </is>
      </c>
    </row>
    <row r="4" ht="28" customHeight="1">
      <c r="A4" s="5" t="inlineStr">
        <is>
          <t>CIS 1.1.2</t>
        </is>
      </c>
      <c r="B4" s="5" t="inlineStr">
        <is>
          <t>Account Policy</t>
        </is>
      </c>
      <c r="C4" s="6" t="inlineStr">
        <is>
          <t>Maximum Password Age (days)</t>
        </is>
      </c>
      <c r="D4" s="6" t="inlineStr">
        <is>
          <t>&lt;= 90</t>
        </is>
      </c>
      <c r="E4" s="6" t="inlineStr">
        <is>
          <t>180</t>
        </is>
      </c>
      <c r="F4" s="7" t="inlineStr">
        <is>
          <t>FAIL</t>
        </is>
      </c>
      <c r="G4" s="6" t="inlineStr">
        <is>
          <t>Reduce to 90 days</t>
        </is>
      </c>
    </row>
    <row r="5" ht="28" customHeight="1">
      <c r="A5" s="10" t="inlineStr">
        <is>
          <t>CIS 1.1.4</t>
        </is>
      </c>
      <c r="B5" s="10" t="inlineStr">
        <is>
          <t>Account Policy</t>
        </is>
      </c>
      <c r="C5" s="11" t="inlineStr">
        <is>
          <t>Minimum Password Length</t>
        </is>
      </c>
      <c r="D5" s="11" t="inlineStr">
        <is>
          <t>&gt;= 14</t>
        </is>
      </c>
      <c r="E5" s="11" t="inlineStr">
        <is>
          <t>8</t>
        </is>
      </c>
      <c r="F5" s="9" t="inlineStr">
        <is>
          <t>FAIL</t>
        </is>
      </c>
      <c r="G5" s="11" t="inlineStr">
        <is>
          <t>Increase to 14+</t>
        </is>
      </c>
    </row>
    <row r="6" ht="28" customHeight="1">
      <c r="A6" s="5" t="inlineStr">
        <is>
          <t>CIS 1.1.5</t>
        </is>
      </c>
      <c r="B6" s="5" t="inlineStr">
        <is>
          <t>Account Policy</t>
        </is>
      </c>
      <c r="C6" s="6" t="inlineStr">
        <is>
          <t>Password Complexity Enabled</t>
        </is>
      </c>
      <c r="D6" s="6" t="inlineStr">
        <is>
          <t>Enabled</t>
        </is>
      </c>
      <c r="E6" s="6" t="inlineStr">
        <is>
          <t>Enabled</t>
        </is>
      </c>
      <c r="F6" s="13" t="inlineStr">
        <is>
          <t>PASS</t>
        </is>
      </c>
      <c r="G6" s="6" t="inlineStr"/>
    </row>
    <row r="7" ht="28" customHeight="1">
      <c r="A7" s="10" t="inlineStr">
        <is>
          <t>CIS 1.2.1</t>
        </is>
      </c>
      <c r="B7" s="10" t="inlineStr">
        <is>
          <t>Account Policy</t>
        </is>
      </c>
      <c r="C7" s="11" t="inlineStr">
        <is>
          <t>Account Lockout Duration (minutes)</t>
        </is>
      </c>
      <c r="D7" s="11" t="inlineStr">
        <is>
          <t>&gt;= 15</t>
        </is>
      </c>
      <c r="E7" s="11" t="inlineStr">
        <is>
          <t>30</t>
        </is>
      </c>
      <c r="F7" s="15" t="inlineStr">
        <is>
          <t>PASS</t>
        </is>
      </c>
      <c r="G7" s="11" t="inlineStr"/>
    </row>
    <row r="8" ht="28" customHeight="1">
      <c r="A8" s="5" t="inlineStr">
        <is>
          <t>CIS 1.2.2</t>
        </is>
      </c>
      <c r="B8" s="5" t="inlineStr">
        <is>
          <t>Account Policy</t>
        </is>
      </c>
      <c r="C8" s="6" t="inlineStr">
        <is>
          <t>Account Lockout Threshold</t>
        </is>
      </c>
      <c r="D8" s="6" t="inlineStr">
        <is>
          <t>&lt;= 5</t>
        </is>
      </c>
      <c r="E8" s="6" t="inlineStr">
        <is>
          <t>10</t>
        </is>
      </c>
      <c r="F8" s="7" t="inlineStr">
        <is>
          <t>FAIL</t>
        </is>
      </c>
      <c r="G8" s="6" t="inlineStr">
        <is>
          <t>Reduce to 3-5</t>
        </is>
      </c>
    </row>
    <row r="9" ht="28" customHeight="1">
      <c r="A9" s="10" t="inlineStr">
        <is>
          <t>CIS 9.1.1</t>
        </is>
      </c>
      <c r="B9" s="10" t="inlineStr">
        <is>
          <t>Firewall</t>
        </is>
      </c>
      <c r="C9" s="11" t="inlineStr">
        <is>
          <t>Domain Profile: Firewall State</t>
        </is>
      </c>
      <c r="D9" s="11" t="inlineStr">
        <is>
          <t>Enabled</t>
        </is>
      </c>
      <c r="E9" s="11" t="inlineStr">
        <is>
          <t>Enabled</t>
        </is>
      </c>
      <c r="F9" s="15" t="inlineStr">
        <is>
          <t>PASS</t>
        </is>
      </c>
      <c r="G9" s="11" t="inlineStr"/>
    </row>
    <row r="10" ht="28" customHeight="1">
      <c r="A10" s="5" t="inlineStr">
        <is>
          <t>CIS 9.1.2</t>
        </is>
      </c>
      <c r="B10" s="5" t="inlineStr">
        <is>
          <t>Firewall</t>
        </is>
      </c>
      <c r="C10" s="6" t="inlineStr">
        <is>
          <t>Domain Profile: Inbound Connections</t>
        </is>
      </c>
      <c r="D10" s="6" t="inlineStr">
        <is>
          <t>Block</t>
        </is>
      </c>
      <c r="E10" s="6" t="inlineStr">
        <is>
          <t>Block</t>
        </is>
      </c>
      <c r="F10" s="13" t="inlineStr">
        <is>
          <t>PASS</t>
        </is>
      </c>
      <c r="G10" s="6" t="inlineStr"/>
    </row>
    <row r="11" ht="28" customHeight="1">
      <c r="A11" s="10" t="inlineStr">
        <is>
          <t>CIS 9.3.2</t>
        </is>
      </c>
      <c r="B11" s="10" t="inlineStr">
        <is>
          <t>Firewall</t>
        </is>
      </c>
      <c r="C11" s="11" t="inlineStr">
        <is>
          <t>Public Profile: User Override Allowed</t>
        </is>
      </c>
      <c r="D11" s="11" t="inlineStr">
        <is>
          <t>No</t>
        </is>
      </c>
      <c r="E11" s="11" t="inlineStr">
        <is>
          <t>Yes</t>
        </is>
      </c>
      <c r="F11" s="9" t="inlineStr">
        <is>
          <t>FAIL</t>
        </is>
      </c>
      <c r="G11" s="11" t="inlineStr">
        <is>
          <t>Disable user override</t>
        </is>
      </c>
    </row>
    <row r="12" ht="28" customHeight="1">
      <c r="A12" s="5" t="inlineStr">
        <is>
          <t>CIS 17.1.1</t>
        </is>
      </c>
      <c r="B12" s="5" t="inlineStr">
        <is>
          <t>Audit Policy</t>
        </is>
      </c>
      <c r="C12" s="6" t="inlineStr">
        <is>
          <t>Audit Credential Validation</t>
        </is>
      </c>
      <c r="D12" s="6" t="inlineStr">
        <is>
          <t>S+F</t>
        </is>
      </c>
      <c r="E12" s="6" t="inlineStr">
        <is>
          <t>Not configured</t>
        </is>
      </c>
      <c r="F12" s="7" t="inlineStr">
        <is>
          <t>FAIL</t>
        </is>
      </c>
      <c r="G12" s="6" t="inlineStr">
        <is>
          <t>Configure via auditpol</t>
        </is>
      </c>
    </row>
    <row r="13" ht="28" customHeight="1">
      <c r="A13" s="10" t="inlineStr">
        <is>
          <t>CIS 17.5.2</t>
        </is>
      </c>
      <c r="B13" s="10" t="inlineStr">
        <is>
          <t>Audit Policy</t>
        </is>
      </c>
      <c r="C13" s="11" t="inlineStr">
        <is>
          <t>Audit Logon Events</t>
        </is>
      </c>
      <c r="D13" s="11" t="inlineStr">
        <is>
          <t>S+F</t>
        </is>
      </c>
      <c r="E13" s="11" t="inlineStr">
        <is>
          <t>Success only</t>
        </is>
      </c>
      <c r="F13" s="9" t="inlineStr">
        <is>
          <t>FAIL</t>
        </is>
      </c>
      <c r="G13" s="11" t="inlineStr">
        <is>
          <t>Add Failure events</t>
        </is>
      </c>
    </row>
    <row r="14" ht="28" customHeight="1">
      <c r="A14" s="5" t="inlineStr">
        <is>
          <t>CIS 18.3.3</t>
        </is>
      </c>
      <c r="B14" s="5" t="inlineStr">
        <is>
          <t>Remote Svcs</t>
        </is>
      </c>
      <c r="C14" s="6" t="inlineStr">
        <is>
          <t>SMBv1 Client Driver</t>
        </is>
      </c>
      <c r="D14" s="6" t="inlineStr">
        <is>
          <t>Disabled</t>
        </is>
      </c>
      <c r="E14" s="6" t="inlineStr">
        <is>
          <t>Enabled</t>
        </is>
      </c>
      <c r="F14" s="7" t="inlineStr">
        <is>
          <t>FAIL</t>
        </is>
      </c>
      <c r="G14" s="6" t="inlineStr">
        <is>
          <t>Disable immediately</t>
        </is>
      </c>
    </row>
    <row r="15" ht="28" customHeight="1">
      <c r="A15" s="10" t="inlineStr">
        <is>
          <t>CIS 18.3.4</t>
        </is>
      </c>
      <c r="B15" s="10" t="inlineStr">
        <is>
          <t>Remote Svcs</t>
        </is>
      </c>
      <c r="C15" s="11" t="inlineStr">
        <is>
          <t>SMBv1 Server</t>
        </is>
      </c>
      <c r="D15" s="11" t="inlineStr">
        <is>
          <t>Disabled</t>
        </is>
      </c>
      <c r="E15" s="11" t="inlineStr">
        <is>
          <t>Disabled</t>
        </is>
      </c>
      <c r="F15" s="15" t="inlineStr">
        <is>
          <t>PASS</t>
        </is>
      </c>
      <c r="G15" s="11" t="inlineStr"/>
    </row>
    <row r="16" ht="28" customHeight="1">
      <c r="A16" s="5" t="inlineStr">
        <is>
          <t>CIS 18.9.8</t>
        </is>
      </c>
      <c r="B16" s="5" t="inlineStr">
        <is>
          <t>Remote Svcs</t>
        </is>
      </c>
      <c r="C16" s="6" t="inlineStr">
        <is>
          <t>RDP Encryption Level</t>
        </is>
      </c>
      <c r="D16" s="6" t="inlineStr">
        <is>
          <t>High (3)</t>
        </is>
      </c>
      <c r="E16" s="6" t="inlineStr">
        <is>
          <t>Low (1)</t>
        </is>
      </c>
      <c r="F16" s="7" t="inlineStr">
        <is>
          <t>FAIL</t>
        </is>
      </c>
      <c r="G16" s="6" t="inlineStr">
        <is>
          <t>Set MinEncryptionLevel=3</t>
        </is>
      </c>
    </row>
    <row r="18">
      <c r="A18" s="20">
        <f>COUNTIF(F3:F16,"PASS")</f>
        <v/>
      </c>
      <c r="B18" s="18" t="inlineStr">
        <is>
          <t>Controls PASSED</t>
        </is>
      </c>
      <c r="C18" s="21">
        <f>COUNTIF(F3:F16,"FAIL")</f>
        <v/>
      </c>
      <c r="D18" s="18" t="inlineStr">
        <is>
          <t>Controls FAILED</t>
        </is>
      </c>
      <c r="E18" s="22">
        <f>ROUND(A18/(A18+C18)*100,1)&amp;"% compliance"</f>
        <v/>
      </c>
    </row>
  </sheetData>
  <autoFilter ref="A2:G1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2026-03-06T20:47:05Z</dcterms:created>
  <dcterms:modified xmlns:dcterms="http://purl.org/dc/terms/" xmlns:xsi="http://www.w3.org/2001/XMLSchema-instance" xsi:type="dcterms:W3CDTF">2026-03-06T20:47:05Z</dcterms:modified>
</cp:coreProperties>
</file>